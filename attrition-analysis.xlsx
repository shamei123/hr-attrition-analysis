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macbok/Downloads/"/>
    </mc:Choice>
  </mc:AlternateContent>
  <xr:revisionPtr revIDLastSave="0" documentId="8_{9E9E24B1-C0C5-1A46-8F10-D3FA618843F6}" xr6:coauthVersionLast="47" xr6:coauthVersionMax="47" xr10:uidLastSave="{00000000-0000-0000-0000-000000000000}"/>
  <bookViews>
    <workbookView xWindow="380" yWindow="500" windowWidth="28040" windowHeight="16100" xr2:uid="{7F4A735F-BF4A-5748-BDC9-3F4ED36543A0}"/>
  </bookViews>
  <sheets>
    <sheet name="Attrition by Department" sheetId="2" r:id="rId1"/>
    <sheet name="Attrition by OverTime" sheetId="4" r:id="rId2"/>
    <sheet name="Attrition by JobSatisfaction" sheetId="5" r:id="rId3"/>
    <sheet name="WA_Fn-UseC_-HR-Employee-Attriti" sheetId="1" r:id="rId4"/>
  </sheets>
  <calcPr calcId="191029"/>
  <pivotCaches>
    <pivotCache cacheId="33" r:id="rId5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F8" i="5" l="1"/>
  <c r="F7" i="5"/>
  <c r="F6" i="5"/>
  <c r="F5" i="5"/>
  <c r="F6" i="4"/>
  <c r="F5" i="4"/>
  <c r="F7" i="2"/>
  <c r="F6" i="2"/>
  <c r="F5" i="2"/>
</calcChain>
</file>

<file path=xl/sharedStrings.xml><?xml version="1.0" encoding="utf-8"?>
<sst xmlns="http://purl.oclc.org/ooxml/spreadsheetml/main" count="13294" uniqueCount="67">
  <si>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</si>
  <si>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</si>
  <si>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</si>
  <si>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</si>
  <si>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</si>
  <si>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</si>
  <si>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</si>
  <si>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</si>
  <si>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</si>
  <si>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</si>
  <si>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</si>
  <si>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</si>
  <si>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</si>
  <si>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</si>
  <si>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</si>
  <si>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</si>
  <si>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</si>
  <si>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</si>
  <si>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</si>
  <si>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</si>
  <si>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</si>
  <si>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</si>
  <si>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</si>
  <si>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</si>
  <si>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</si>
  <si>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</si>
  <si>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</si>
  <si>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</si>
  <si>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</si>
  <si>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</si>
  <si>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</si>
  <si>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</si>
  <si>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</si>
  <si>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</si>
  <si>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</si>
  <si>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</si>
  <si>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</si>
  <si>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</si>
  <si>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</si>
  <si>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</si>
  <si>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</si>
  <si>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</si>
  <si>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</si>
  <si>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</si>
  <si>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</si>
  <si>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</si>
  <si>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</si>
  <si>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</si>
  <si>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</si>
  <si>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</si>
  <si>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</si>
  <si>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</si>
  <si>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</si>
  <si>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</si>
  <si>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</si>
  <si>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</si>
  <si>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</si>
  <si>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</si>
  <si>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</si>
  <si>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</si>
  <si>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</si>
  <si>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</si>
  <si>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</si>
  <si>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</si>
  <si>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Count of Attrition</t>
  </si>
  <si>
    <t>Column Labels</t>
  </si>
  <si>
    <t>RATE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</si>
</sst>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5" tint="0.59999389629810485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  <xf numFmtId="0" fontId="18" fillId="33" borderId="0" xfId="0" applyFont="1" applyFill="1"/>
    <xf numFmtId="9" fontId="1" fillId="34" borderId="0" xfId="1" applyFont="1" applyFill="1"/>
    <xf numFmtId="0" fontId="18" fillId="35" borderId="0" xfId="0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pivotCacheDefinition" Target="pivotCache/pivotCacheDefinition1.xml"/><Relationship Id="rId4" Type="http://purl.oclc.org/ooxml/officeDocument/relationships/worksheet" Target="worksheets/sheet4.xml"/><Relationship Id="rId9" Type="http://purl.oclc.org/ooxml/officeDocument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macbok" refreshedDateIso="2026-07-20T07:47:11.50000004097819150" createdVersion="8" refreshedVersion="8" minRefreshableVersion="3" recordCount="1470" xr:uid="{43B99283-72E5-4C4E-970B-00A14D507BEE}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x v="0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x v="1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x v="2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x v="2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x v="1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x v="0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x v="3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x v="2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x v="2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x v="2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x v="1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x v="2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x v="2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x v="0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x v="2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x v="3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x v="1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x v="0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x v="0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x v="0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x v="2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x v="3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x v="1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x v="0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x v="3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x v="2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x v="3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x v="1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x v="0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x v="3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x v="0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x v="0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x v="2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x v="0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x v="0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x v="2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x v="2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x v="0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x v="3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x v="3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x v="0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x v="3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x v="2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x v="2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x v="0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x v="2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x v="2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x v="1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x v="0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x v="0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x v="2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x v="2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x v="3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x v="3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x v="0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x v="0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x v="3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x v="3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x v="0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x v="2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x v="0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x v="0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x v="2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x v="3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x v="2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x v="2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x v="1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x v="3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x v="3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x v="2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x v="2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x v="1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x v="1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x v="1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x v="0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x v="0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x v="3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x v="3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x v="2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x v="1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x v="0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x v="2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x v="0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x v="0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x v="1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x v="0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x v="3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x v="0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x v="0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x v="0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x v="1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x v="0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x v="1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x v="3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x v="2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x v="2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x v="2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x v="2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x v="2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x v="1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x v="3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x v="3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x v="0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x v="2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x v="0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x v="0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x v="1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x v="2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x v="0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x v="0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x v="3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x v="2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x v="0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x v="2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x v="1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x v="0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x v="3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x v="0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x v="0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x v="0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x v="2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x v="1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x v="1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x v="2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x v="2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x v="1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x v="0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x v="2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x v="0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x v="3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x v="2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x v="0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x v="2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x v="2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x v="2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x v="1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x v="0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x v="2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x v="2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x v="0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x v="3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x v="0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x v="2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x v="2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x v="0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x v="3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x v="0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x v="3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x v="3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x v="1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x v="1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x v="1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x v="2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x v="1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x v="0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x v="2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x v="2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x v="1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x v="0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x v="2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x v="0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x v="1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x v="0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x v="0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x v="2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x v="1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x v="2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x v="0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x v="0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x v="2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x v="1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x v="3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x v="1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x v="3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x v="3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x v="3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x v="0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x v="0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x v="3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x v="0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x v="0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x v="1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x v="1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x v="2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x v="3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x v="1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x v="2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x v="1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x v="2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x v="1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x v="2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x v="1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x v="2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x v="0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x v="0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x v="3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x v="1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x v="2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x v="2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x v="0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x v="3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x v="0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x v="2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x v="0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x v="3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x v="0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x v="1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x v="0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x v="0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x v="3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x v="0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x v="2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x v="2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x v="1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x v="3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x v="0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x v="3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x v="2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x v="0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x v="3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x v="1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x v="1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x v="0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x v="2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x v="2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x v="0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x v="0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x v="0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x v="2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x v="0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x v="0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x v="0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x v="2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x v="0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x v="0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x v="0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x v="3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x v="2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x v="1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x v="2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x v="2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x v="0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x v="3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x v="0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x v="0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x v="2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x v="0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x v="3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x v="3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x v="2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x v="2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x v="2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x v="0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x v="3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x v="0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x v="2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x v="3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x v="2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x v="0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x v="1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x v="1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x v="0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x v="3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x v="1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x v="2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x v="1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x v="0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x v="3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x v="0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x v="0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x v="3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x v="1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x v="0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x v="0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x v="2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x v="0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x v="1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x v="3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x v="1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x v="1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x v="2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x v="2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x v="0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x v="0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x v="3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x v="0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x v="2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x v="0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x v="1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x v="0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x v="3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x v="1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x v="1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x v="0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x v="0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x v="1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x v="2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x v="1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x v="0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x v="1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x v="1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x v="2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x v="3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x v="0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x v="0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x v="1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x v="2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x v="1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x v="2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x v="0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x v="3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x v="3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x v="0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x v="1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x v="3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x v="0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x v="2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x v="1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x v="1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x v="1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x v="2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x v="0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x v="0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x v="0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x v="0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x v="2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x v="0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x v="2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x v="0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x v="2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x v="2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x v="1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x v="2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x v="3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x v="0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x v="0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x v="3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x v="0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x v="2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x v="1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x v="0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x v="0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x v="0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x v="1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x v="1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x v="0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x v="1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x v="2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x v="0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x v="2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x v="2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x v="1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x v="2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x v="3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x v="2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x v="2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x v="0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x v="1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x v="0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x v="0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x v="2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x v="2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x v="0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x v="2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x v="3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x v="2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x v="1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x v="0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x v="2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x v="1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x v="1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x v="0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x v="1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x v="1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x v="0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x v="2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x v="0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x v="2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x v="0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x v="0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x v="2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x v="1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x v="3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x v="1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x v="2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x v="0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x v="3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x v="1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x v="3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x v="1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x v="1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x v="2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x v="3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x v="2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x v="3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x v="0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x v="2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x v="0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x v="2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x v="3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x v="2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x v="3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x v="2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x v="3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x v="3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x v="3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x v="2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x v="0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x v="0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x v="2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x v="0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x v="3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x v="2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x v="0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x v="1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x v="2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x v="0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x v="2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x v="0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x v="0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x v="2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x v="1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x v="0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x v="3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x v="0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x v="2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x v="0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x v="3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x v="0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x v="2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x v="2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x v="2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x v="2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x v="0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x v="1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x v="2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x v="0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x v="1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x v="2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x v="2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x v="3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x v="2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x v="0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x v="2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x v="0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x v="1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x v="0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x v="2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x v="2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x v="2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x v="0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x v="3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x v="1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x v="2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x v="0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x v="2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x v="0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x v="1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x v="3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x v="2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x v="2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x v="2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x v="0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x v="0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x v="0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x v="2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x v="3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x v="1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x v="3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x v="2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x v="0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x v="2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x v="1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x v="2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x v="0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x v="1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x v="1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x v="1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x v="2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x v="2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x v="3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x v="0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x v="3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x v="0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x v="0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x v="2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x v="2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x v="1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x v="0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x v="0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x v="3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x v="2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x v="3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x v="2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x v="2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x v="3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x v="2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x v="0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x v="2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x v="2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x v="0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x v="2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x v="3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x v="0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x v="3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x v="0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x v="2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x v="2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x v="0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x v="0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x v="1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x v="1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x v="0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x v="2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x v="3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x v="2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x v="3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x v="1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x v="0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x v="0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x v="1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x v="0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x v="0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x v="2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x v="1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x v="2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x v="2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x v="0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x v="2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x v="0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x v="3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x v="0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x v="3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x v="3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x v="2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x v="0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x v="3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x v="3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x v="2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x v="1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x v="1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x v="3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x v="2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x v="2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x v="2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x v="0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x v="2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x v="2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x v="0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x v="2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x v="3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x v="1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x v="0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x v="0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x v="3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x v="1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x v="0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x v="3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x v="0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x v="2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x v="3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x v="3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x v="0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x v="0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x v="2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x v="2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x v="2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x v="0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x v="3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x v="3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x v="0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x v="0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x v="2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x v="3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x v="0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x v="3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x v="0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x v="3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x v="3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x v="3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x v="0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x v="2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x v="1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x v="3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x v="0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x v="3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x v="1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x v="2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x v="2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x v="3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x v="2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x v="3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x v="0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x v="1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x v="2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x v="1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x v="2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x v="0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x v="2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x v="1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x v="2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x v="2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x v="0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x v="2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x v="1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x v="3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x v="0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x v="0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x v="0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x v="3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x v="0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x v="2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x v="1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x v="0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x v="2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x v="0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x v="2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x v="1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x v="3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x v="3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x v="3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x v="0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x v="0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x v="0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x v="0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x v="3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x v="2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x v="0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x v="2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x v="0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x v="0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x v="0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x v="0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x v="3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x v="3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x v="2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x v="1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x v="0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x v="3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x v="3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x v="0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x v="1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x v="1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x v="0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x v="0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x v="2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x v="0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x v="1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x v="0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x v="0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x v="0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x v="0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x v="1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x v="3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x v="0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x v="1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x v="0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x v="0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x v="3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x v="0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x v="0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x v="1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x v="2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x v="0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x v="0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x v="0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x v="2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x v="0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x v="2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x v="3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x v="2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x v="1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x v="2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x v="3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x v="1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x v="2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x v="0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x v="1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x v="2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x v="2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x v="0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x v="3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x v="1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x v="1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x v="1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x v="3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x v="3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x v="2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x v="1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x v="3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x v="0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x v="1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x v="3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x v="0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x v="0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x v="2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x v="1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x v="0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x v="2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x v="0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x v="2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x v="2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x v="2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x v="0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x v="0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x v="2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x v="1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x v="2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x v="0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x v="3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x v="2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x v="3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x v="0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x v="0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x v="0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x v="1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x v="2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x v="1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x v="3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x v="0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x v="2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x v="2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x v="2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x v="2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x v="2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x v="1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x v="3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x v="0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x v="2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x v="2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x v="3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x v="3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x v="1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x v="0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x v="3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x v="2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x v="2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x v="2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x v="0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x v="0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x v="0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x v="2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x v="0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x v="0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x v="1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x v="1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x v="2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x v="0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x v="3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x v="0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x v="0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x v="2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x v="3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x v="3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x v="0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x v="0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x v="2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x v="0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x v="0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x v="1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x v="1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x v="2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x v="3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x v="2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x v="1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x v="2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x v="2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x v="1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x v="3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x v="2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x v="0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x v="2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x v="2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x v="0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x v="3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x v="0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x v="0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x v="3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x v="3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x v="2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x v="3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x v="3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x v="3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x v="2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x v="2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x v="0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x v="2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x v="1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x v="2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x v="3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x v="0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x v="3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x v="2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x v="2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x v="0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x v="0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x v="0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x v="2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x v="1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x v="3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x v="1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x v="2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x v="1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x v="0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x v="0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x v="2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x v="1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x v="2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x v="0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x v="1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x v="2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x v="1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x v="3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x v="0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x v="2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x v="1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x v="1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x v="0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x v="0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x v="1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x v="0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x v="1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x v="2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x v="1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x v="0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x v="0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x v="2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x v="2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x v="2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x v="3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x v="0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x v="2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x v="0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x v="2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x v="2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x v="2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x v="3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x v="2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x v="3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x v="3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x v="2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x v="1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x v="0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x v="0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x v="2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x v="0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x v="1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x v="3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x v="0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x v="2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x v="3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x v="3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x v="0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x v="3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x v="2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x v="0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x v="2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x v="2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x v="2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x v="0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x v="0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x v="3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x v="2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x v="2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x v="3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x v="3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x v="1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x v="3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x v="3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x v="1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x v="3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x v="1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x v="2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x v="2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x v="2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x v="0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x v="0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x v="0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x v="3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x v="0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x v="1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x v="2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x v="3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x v="0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x v="1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x v="0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x v="1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x v="3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x v="0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x v="3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x v="2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x v="0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x v="1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x v="0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x v="0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x v="3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x v="3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x v="0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x v="0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x v="2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x v="1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x v="1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x v="2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x v="0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x v="0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x v="0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x v="2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x v="1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x v="2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x v="0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x v="2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x v="0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x v="0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x v="1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x v="1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x v="2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x v="1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x v="3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x v="1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x v="0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x v="1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x v="2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x v="3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x v="1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x v="2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x v="1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x v="0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x v="1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x v="0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x v="0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x v="2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x v="2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x v="2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x v="3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x v="1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x v="0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x v="1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x v="1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x v="2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x v="2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x v="3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x v="0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x v="2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x v="3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x v="0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x v="3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x v="1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x v="1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x v="3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x v="2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x v="2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x v="1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x v="1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x v="3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x v="2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x v="2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x v="1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x v="2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x v="0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x v="0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x v="3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x v="2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x v="1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x v="3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x v="3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x v="0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x v="3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x v="1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x v="3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x v="0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x v="0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x v="1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x v="0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x v="0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x v="0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x v="2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x v="1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x v="2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x v="2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x v="2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x v="0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x v="2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x v="2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x v="0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x v="3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x v="2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x v="0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x v="1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x v="0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x v="2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x v="0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x v="1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x v="2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x v="2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x v="2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x v="2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x v="0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x v="2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x v="0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x v="3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x v="3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x v="2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x v="0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x v="0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x v="3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x v="3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x v="3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x v="0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x v="0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x v="3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x v="0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x v="1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x v="2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x v="3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x v="1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x v="3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x v="1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x v="3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x v="0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x v="3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x v="0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x v="3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x v="2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x v="3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x v="2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x v="2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x v="0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x v="1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x v="2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x v="2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x v="0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x v="0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x v="3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x v="1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x v="3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x v="1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x v="0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x v="0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x v="3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x v="2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x v="1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x v="3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x v="2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x v="1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x v="2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x v="2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x v="1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x v="3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x v="3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x v="2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x v="0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x v="2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x v="2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x v="2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x v="1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x v="3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x v="2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x v="1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x v="1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x v="2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x v="3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x v="1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x v="2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x v="2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x v="2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x v="2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x v="1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x v="2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x v="3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x v="2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x v="3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x v="3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x v="1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x v="1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x v="2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x v="0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x v="0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x v="3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x v="3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x v="1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x v="1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x v="1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x v="2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x v="3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x v="2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x v="2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x v="0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x v="2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x v="1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x v="0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x v="3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x v="1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x v="0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x v="0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x v="3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x v="2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x v="0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x v="3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x v="0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x v="1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x v="2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x v="1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x v="0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x v="2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x v="2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x v="3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x v="3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x v="2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x v="3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x v="1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x v="3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x v="0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x v="1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x v="3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x v="3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x v="0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x v="0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x v="0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x v="0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x v="1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x v="1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x v="2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x v="3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x v="2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x v="2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x v="0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x v="2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x v="2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x v="3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x v="0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x v="2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x v="2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x v="3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x v="1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x v="0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x v="3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x v="1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x v="2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x v="2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x v="0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x v="0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x v="1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x v="3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x v="3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x v="3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x v="2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x v="0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x v="3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x v="3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x v="3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x v="3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x v="3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x v="0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x v="0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x v="2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x v="2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x v="2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x v="2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x v="2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x v="2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x v="0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x v="2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x v="3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x v="1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x v="0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x v="0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x v="0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x v="0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x v="0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x v="2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x v="0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x v="3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x v="2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x v="3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x v="2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x v="1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x v="1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x v="3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x v="2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x v="1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x v="1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x v="2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x v="2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x v="3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x v="2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x v="2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x v="0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x v="0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x v="1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x v="0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x v="1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x v="0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x v="3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x v="1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x v="1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x v="2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x v="2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x v="3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x v="0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x v="2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x v="0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x v="2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x v="2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x v="0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x v="2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x v="1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x v="0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x v="1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x v="0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x v="0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x v="1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x v="0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x v="0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x v="0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x v="0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x v="0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x v="0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x v="2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x v="2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x v="2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x v="0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x v="2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x v="2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x v="2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x v="2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x v="1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x v="2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x v="2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x v="1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x v="3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x v="3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x v="1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x v="2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x v="0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x v="1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x v="0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x v="3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x v="1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x v="1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x v="0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x v="0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x v="2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x v="1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x v="2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x v="3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x v="0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x v="0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x v="2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x v="0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x v="1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x v="2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x v="3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x v="0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x v="1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x v="0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x v="3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x v="1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x v="2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x v="3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x v="2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x v="1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x v="0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x v="2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x v="1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x v="3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x v="1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x v="3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x v="2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x v="2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x v="0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x v="0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x v="1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x v="2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x v="3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x v="0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x v="2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x v="1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x v="0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x v="3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x v="1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x v="1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x v="0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x v="3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x v="0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x v="2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x v="1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x v="3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x v="3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x v="0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x v="1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x v="3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x v="3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x v="0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x v="2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x v="1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x v="2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x v="2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x v="1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x v="1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x v="0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x v="2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x v="1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x v="2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x v="1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x v="3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x v="0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x v="3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x v="3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x v="0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x v="0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x v="2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x v="2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x v="3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x v="3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x v="2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x v="1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x v="0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x v="0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x v="0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x v="0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x v="2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x v="2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x v="0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x v="0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x v="2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x v="2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x v="1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x v="3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x v="2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x v="1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x v="2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x v="1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x v="0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x v="1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x v="3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x v="0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x v="0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x v="1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x v="0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x v="1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x v="2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x v="2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x v="0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x v="3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x v="3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x v="1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x v="0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x v="0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x v="3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x v="2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x v="2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x v="0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x v="3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x v="3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x v="0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x v="1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x v="1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x v="3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x v="0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x v="0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x v="2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x v="0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x v="2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x v="2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x v="0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x v="3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x v="2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x v="1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x v="0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x v="2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x v="1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x v="3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x v="3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x v="1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x v="0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x v="2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x v="0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x v="0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x v="0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x v="1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x v="3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x v="2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x v="3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x v="1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x v="0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x v="2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x v="3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x v="3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x v="0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x v="3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x v="0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x v="3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x v="0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x v="0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x v="0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x v="0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x v="3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x v="2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x v="2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x v="2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x v="1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x v="1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x v="0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x v="3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x v="2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x v="2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x v="3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x v="2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x v="0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x v="2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x v="1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x v="1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x v="1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x v="2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x v="2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x v="2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x v="1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x v="2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x v="2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x v="3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x v="0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x v="1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x v="2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x v="2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x v="2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x v="0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x v="1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x v="0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x v="1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x v="0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x v="2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x v="0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x v="0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x v="2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x v="0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x v="0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x v="3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x v="0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x v="3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x v="0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x v="1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x v="2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x v="0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x v="2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x v="2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x v="1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x v="2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x v="0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x v="1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x v="3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x v="0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x v="0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x v="2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x v="0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x v="2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x v="2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x v="2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x v="2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x v="0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x v="1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x v="3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x v="3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x v="0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x v="3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x v="2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x v="0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x v="3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x v="1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x v="1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x v="2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DCBB2ABC-7258-2148-901F-C27D70383D9E}" name="PivotTable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5F66CA21-63B3-084D-B5D7-1BC2AF4B2707}" name="PivotTable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D4C4A0BD-6278-4C43-9257-6B3EAB5516C6}" name="PivotTable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ivotTable" Target="../pivotTables/pivotTable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C393-B5E8-DE48-9C0E-103A53AB57B1}">
  <dimension ref="A3:F8"/>
  <sheetViews>
    <sheetView tabSelected="1" topLeftCell="A2" zoomScale="138" workbookViewId="0">
      <selection activeCell="G10" sqref="G10"/>
    </sheetView>
  </sheetViews>
  <sheetFormatPr baseColWidth="10" defaultRowHeight="16" x14ac:dyDescent="0.2"/>
  <cols>
    <col min="1" max="1" width="21.83203125" bestFit="1" customWidth="1"/>
    <col min="2" max="2" width="16" bestFit="1" customWidth="1"/>
    <col min="3" max="3" width="4.33203125" bestFit="1" customWidth="1"/>
  </cols>
  <sheetData>
    <row r="3" spans="1:6" x14ac:dyDescent="0.2">
      <c r="A3" s="1" t="s">
        <v>64</v>
      </c>
      <c r="B3" s="1" t="s">
        <v>65</v>
      </c>
    </row>
    <row r="4" spans="1:6" x14ac:dyDescent="0.2">
      <c r="A4" s="1" t="s">
        <v>62</v>
      </c>
      <c r="B4" t="s">
        <v>43</v>
      </c>
      <c r="C4" t="s">
        <v>35</v>
      </c>
      <c r="D4" t="s">
        <v>63</v>
      </c>
      <c r="F4" s="5" t="s">
        <v>66</v>
      </c>
    </row>
    <row r="5" spans="1:6" x14ac:dyDescent="0.2">
      <c r="A5" s="2" t="s">
        <v>61</v>
      </c>
      <c r="B5" s="3">
        <v>51</v>
      </c>
      <c r="C5" s="3">
        <v>12</v>
      </c>
      <c r="D5" s="3">
        <v>63</v>
      </c>
      <c r="F5" s="4">
        <f>GETPIVOTDATA("Attrition",$A$3,"Attrition","Yes","Department","Human Resources")/GETPIVOTDATA("Attrition",$A$3,"Department","Human Resources")</f>
        <v>0.19047619047619047</v>
      </c>
    </row>
    <row r="6" spans="1:6" x14ac:dyDescent="0.2">
      <c r="A6" s="2" t="s">
        <v>45</v>
      </c>
      <c r="B6" s="3">
        <v>828</v>
      </c>
      <c r="C6" s="3">
        <v>133</v>
      </c>
      <c r="D6" s="3">
        <v>961</v>
      </c>
      <c r="F6" s="4">
        <f>GETPIVOTDATA("Attrition",$A$3,"Attrition","Yes","Department","Research &amp; Development")/GETPIVOTDATA("Attrition",$A$3,"Department","Research &amp; Development")</f>
        <v>0.13839750260145681</v>
      </c>
    </row>
    <row r="7" spans="1:6" x14ac:dyDescent="0.2">
      <c r="A7" s="2" t="s">
        <v>37</v>
      </c>
      <c r="B7" s="3">
        <v>354</v>
      </c>
      <c r="C7" s="3">
        <v>92</v>
      </c>
      <c r="D7" s="3">
        <v>446</v>
      </c>
      <c r="F7" s="4">
        <f>GETPIVOTDATA("Attrition",$A$3,"Attrition","Yes","Department","Sales")/GETPIVOTDATA("Attrition",$A$3,"Department","Sales")</f>
        <v>0.20627802690582961</v>
      </c>
    </row>
    <row r="8" spans="1:6" x14ac:dyDescent="0.2">
      <c r="A8" s="2" t="s">
        <v>63</v>
      </c>
      <c r="B8" s="3">
        <v>1233</v>
      </c>
      <c r="C8" s="3">
        <v>237</v>
      </c>
      <c r="D8" s="3">
        <v>1470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9E1F-37FE-2046-8D3D-7800DD458C18}">
  <dimension ref="A3:F7"/>
  <sheetViews>
    <sheetView zoomScale="138" workbookViewId="0">
      <selection activeCell="F4" sqref="F4"/>
    </sheetView>
  </sheetViews>
  <sheetFormatPr baseColWidth="10" defaultRowHeight="16" x14ac:dyDescent="0.2"/>
  <cols>
    <col min="1" max="1" width="15.5" bestFit="1" customWidth="1"/>
    <col min="2" max="2" width="16" bestFit="1" customWidth="1"/>
    <col min="3" max="3" width="4.33203125" bestFit="1" customWidth="1"/>
  </cols>
  <sheetData>
    <row r="3" spans="1:6" x14ac:dyDescent="0.2">
      <c r="A3" s="1" t="s">
        <v>64</v>
      </c>
      <c r="B3" s="1" t="s">
        <v>65</v>
      </c>
    </row>
    <row r="4" spans="1:6" x14ac:dyDescent="0.2">
      <c r="A4" s="1" t="s">
        <v>62</v>
      </c>
      <c r="B4" t="s">
        <v>43</v>
      </c>
      <c r="C4" t="s">
        <v>35</v>
      </c>
      <c r="D4" t="s">
        <v>63</v>
      </c>
      <c r="F4" s="5" t="s">
        <v>66</v>
      </c>
    </row>
    <row r="5" spans="1:6" x14ac:dyDescent="0.2">
      <c r="A5" s="2" t="s">
        <v>43</v>
      </c>
      <c r="B5" s="3">
        <v>944</v>
      </c>
      <c r="C5" s="3">
        <v>110</v>
      </c>
      <c r="D5" s="3">
        <v>1054</v>
      </c>
      <c r="F5" s="4">
        <f>GETPIVOTDATA("Attrition",$A$3,"Attrition","Yes","OverTime","No")/GETPIVOTDATA("Attrition",$A$3,"OverTime","No")</f>
        <v>0.10436432637571158</v>
      </c>
    </row>
    <row r="6" spans="1:6" x14ac:dyDescent="0.2">
      <c r="A6" s="2" t="s">
        <v>35</v>
      </c>
      <c r="B6" s="3">
        <v>289</v>
      </c>
      <c r="C6" s="3">
        <v>127</v>
      </c>
      <c r="D6" s="3">
        <v>416</v>
      </c>
      <c r="F6" s="4">
        <f>GETPIVOTDATA("Attrition",$A$3,"Attrition","Yes","OverTime","Yes")/GETPIVOTDATA("Attrition",$A$3,"OverTime","Yes")</f>
        <v>0.30528846153846156</v>
      </c>
    </row>
    <row r="7" spans="1:6" x14ac:dyDescent="0.2">
      <c r="A7" s="2" t="s">
        <v>63</v>
      </c>
      <c r="B7" s="3">
        <v>1233</v>
      </c>
      <c r="C7" s="3">
        <v>237</v>
      </c>
      <c r="D7" s="3">
        <v>1470</v>
      </c>
      <c r="F7" s="4"/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8785-13BB-844D-AA0C-71D20821937C}">
  <dimension ref="A3:F9"/>
  <sheetViews>
    <sheetView topLeftCell="A2" zoomScale="138" workbookViewId="0">
      <selection activeCell="F4" sqref="F4"/>
    </sheetView>
  </sheetViews>
  <sheetFormatPr baseColWidth="10" defaultRowHeight="16" x14ac:dyDescent="0.2"/>
  <cols>
    <col min="1" max="1" width="15.5" bestFit="1" customWidth="1"/>
    <col min="2" max="2" width="16" bestFit="1" customWidth="1"/>
    <col min="3" max="3" width="4.33203125" bestFit="1" customWidth="1"/>
  </cols>
  <sheetData>
    <row r="3" spans="1:6" x14ac:dyDescent="0.2">
      <c r="A3" s="1" t="s">
        <v>64</v>
      </c>
      <c r="B3" s="1" t="s">
        <v>65</v>
      </c>
    </row>
    <row r="4" spans="1:6" x14ac:dyDescent="0.2">
      <c r="A4" s="1" t="s">
        <v>62</v>
      </c>
      <c r="B4" t="s">
        <v>43</v>
      </c>
      <c r="C4" t="s">
        <v>35</v>
      </c>
      <c r="D4" t="s">
        <v>63</v>
      </c>
      <c r="F4" s="7" t="s">
        <v>66</v>
      </c>
    </row>
    <row r="5" spans="1:6" x14ac:dyDescent="0.2">
      <c r="A5" s="2">
        <v>1</v>
      </c>
      <c r="B5" s="3">
        <v>223</v>
      </c>
      <c r="C5" s="3">
        <v>66</v>
      </c>
      <c r="D5" s="3">
        <v>289</v>
      </c>
      <c r="F5" s="4">
        <f>GETPIVOTDATA("Attrition",$A$3,"Attrition","Yes","JobSatisfaction",1)/GETPIVOTDATA("Attrition",$A$3,"JobSatisfaction",1)</f>
        <v>0.22837370242214533</v>
      </c>
    </row>
    <row r="6" spans="1:6" x14ac:dyDescent="0.2">
      <c r="A6" s="2">
        <v>2</v>
      </c>
      <c r="B6" s="3">
        <v>234</v>
      </c>
      <c r="C6" s="3">
        <v>46</v>
      </c>
      <c r="D6" s="3">
        <v>280</v>
      </c>
      <c r="F6" s="4">
        <f>GETPIVOTDATA("Attrition",$A$3,"Attrition","Yes","JobSatisfaction",2)/GETPIVOTDATA("Attrition",$A$3,"JobSatisfaction",2)</f>
        <v>0.16428571428571428</v>
      </c>
    </row>
    <row r="7" spans="1:6" x14ac:dyDescent="0.2">
      <c r="A7" s="2">
        <v>3</v>
      </c>
      <c r="B7" s="3">
        <v>369</v>
      </c>
      <c r="C7" s="3">
        <v>73</v>
      </c>
      <c r="D7" s="3">
        <v>442</v>
      </c>
      <c r="F7" s="4">
        <f>GETPIVOTDATA("Attrition",$A$3,"Attrition","Yes","JobSatisfaction",3)/GETPIVOTDATA("Attrition",$A$3,"JobSatisfaction",3)</f>
        <v>0.16515837104072398</v>
      </c>
    </row>
    <row r="8" spans="1:6" x14ac:dyDescent="0.2">
      <c r="A8" s="2">
        <v>4</v>
      </c>
      <c r="B8" s="3">
        <v>407</v>
      </c>
      <c r="C8" s="3">
        <v>52</v>
      </c>
      <c r="D8" s="3">
        <v>459</v>
      </c>
      <c r="F8" s="6">
        <f>GETPIVOTDATA("Attrition",$A$3,"Attrition","Yes","JobSatisfaction",4)/GETPIVOTDATA("Attrition",$A$3,"JobSatisfaction",4)</f>
        <v>0.11328976034858387</v>
      </c>
    </row>
    <row r="9" spans="1:6" x14ac:dyDescent="0.2">
      <c r="A9" s="2" t="s">
        <v>63</v>
      </c>
      <c r="B9" s="3">
        <v>1233</v>
      </c>
      <c r="C9" s="3">
        <v>237</v>
      </c>
      <c r="D9" s="3">
        <v>1470</v>
      </c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3702-5C26-E34E-A9CB-1A2CED22FE2B}">
  <dimension ref="A1:AI1471"/>
  <sheetViews>
    <sheetView workbookViewId="0"/>
  </sheetViews>
  <sheetFormatPr baseColWidth="10" defaultRowHeight="16" x14ac:dyDescent="0.2"/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Attrition by Department</vt:lpstr>
      <vt:lpstr>Attrition by OverTime</vt:lpstr>
      <vt:lpstr>Attrition by JobSatisfaction</vt:lpstr>
      <vt:lpstr>WA_Fn-UseC_-HR-Employee-Attriti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 Panwar</dc:creator>
  <cp:lastModifiedBy>Little Panwar</cp:lastModifiedBy>
  <dcterms:created xsi:type="dcterms:W3CDTF">2026-07-20T07:10:02Z</dcterms:created>
  <dcterms:modified xsi:type="dcterms:W3CDTF">2026-07-20T07:26:57Z</dcterms:modified>
</cp:coreProperties>
</file>